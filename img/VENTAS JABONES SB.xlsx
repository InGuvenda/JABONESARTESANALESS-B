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-360\Documents\"/>
    </mc:Choice>
  </mc:AlternateContent>
  <xr:revisionPtr revIDLastSave="0" documentId="13_ncr:1_{E762FA25-2A44-4200-A07C-40708E4B0BC8}" xr6:coauthVersionLast="47" xr6:coauthVersionMax="47" xr10:uidLastSave="{00000000-0000-0000-0000-000000000000}"/>
  <bookViews>
    <workbookView xWindow="-120" yWindow="-120" windowWidth="20730" windowHeight="11040" xr2:uid="{A17C4AB0-2648-464F-B1D5-18EC70D821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I30" i="1"/>
  <c r="I26" i="1"/>
  <c r="I22" i="1"/>
  <c r="I18" i="1"/>
  <c r="I13" i="1"/>
  <c r="I7" i="1"/>
  <c r="I2" i="1"/>
  <c r="H31" i="1"/>
  <c r="H30" i="1"/>
  <c r="H27" i="1"/>
  <c r="H26" i="1"/>
  <c r="H23" i="1"/>
  <c r="H22" i="1"/>
  <c r="H19" i="1"/>
  <c r="H18" i="1"/>
  <c r="H14" i="1"/>
  <c r="H13" i="1"/>
  <c r="H8" i="1"/>
  <c r="H9" i="1"/>
  <c r="H10" i="1"/>
  <c r="H7" i="1"/>
  <c r="H3" i="1"/>
  <c r="H4" i="1"/>
  <c r="H2" i="1"/>
</calcChain>
</file>

<file path=xl/sharedStrings.xml><?xml version="1.0" encoding="utf-8"?>
<sst xmlns="http://schemas.openxmlformats.org/spreadsheetml/2006/main" count="101" uniqueCount="31">
  <si>
    <t>JABON</t>
  </si>
  <si>
    <t>glicerina transparente</t>
  </si>
  <si>
    <t>fragancia dove</t>
  </si>
  <si>
    <t>DOVE</t>
  </si>
  <si>
    <t>GRAMOS</t>
  </si>
  <si>
    <t>TIPO</t>
  </si>
  <si>
    <t>MOLDES</t>
  </si>
  <si>
    <t>PEZ</t>
  </si>
  <si>
    <t>ALMEJA</t>
  </si>
  <si>
    <t>COLA DE SIRENA</t>
  </si>
  <si>
    <t>CABALLITO DE MAR</t>
  </si>
  <si>
    <t>ESPIRAL</t>
  </si>
  <si>
    <t>ESTRELLA</t>
  </si>
  <si>
    <t>DELFIN</t>
  </si>
  <si>
    <t xml:space="preserve">3 CUADRITOS </t>
  </si>
  <si>
    <t>1/2 CUADRITO</t>
  </si>
  <si>
    <t xml:space="preserve">CANELA </t>
  </si>
  <si>
    <t>fragancia canela</t>
  </si>
  <si>
    <t>6 cuadros</t>
  </si>
  <si>
    <t>GRAMOS X PRODUCTO</t>
  </si>
  <si>
    <t>VENTA</t>
  </si>
  <si>
    <t>UNIDADES VENDIDAS</t>
  </si>
  <si>
    <t>COCO</t>
  </si>
  <si>
    <t>glicerina blanca</t>
  </si>
  <si>
    <t>octagonal</t>
  </si>
  <si>
    <t xml:space="preserve"> </t>
  </si>
  <si>
    <t>barra rectangular</t>
  </si>
  <si>
    <t>fragancia de coco</t>
  </si>
  <si>
    <t>barra circular</t>
  </si>
  <si>
    <t>GANANCIA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</si>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</sst>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5B5DDD-4C84-4755-B721-EC76F189A64A}" name="Tabla1" displayName="Tabla1" ref="A1:I4" totalsRowShown="0">
  <autoFilter ref="A1:I4" xr:uid="{FF5B5DDD-4C84-4755-B721-EC76F189A64A}"/>
  <tableColumns count="9">
    <tableColumn id="1" xr3:uid="{A5A4BDB8-32D8-43E6-A074-88CF1EBF4F25}" name="JABON"/>
    <tableColumn id="2" xr3:uid="{FFEA5F58-C7DC-4662-8180-A90F04A3A302}" name="GRAMOS"/>
    <tableColumn id="3" xr3:uid="{E102E992-9917-4801-A711-71B8D75CA16D}" name="TIPO"/>
    <tableColumn id="4" xr3:uid="{BC2D7BA2-AF03-4229-A9F1-D3A4D484FE02}" name="MOLDES"/>
    <tableColumn id="5" xr3:uid="{36B61C54-A155-4F65-8995-C9C2F1ECCBE7}" name="GRAMOS X PRODUCTO"/>
    <tableColumn id="6" xr3:uid="{939E791A-77F5-416D-87D8-2AEFE003F933}" name="VENTA"/>
    <tableColumn id="7" xr3:uid="{1ED0BADC-8A0A-45F9-8B87-6855C35E0304}" name="UNIDADES VENDIDAS"/>
    <tableColumn id="8" xr3:uid="{A72C47E3-30E5-4417-B3EF-225A28D26EE7}" name="GANANCIA">
      <calculatedColumnFormula>Tabla1[[#This Row],[UNIDADES VENDIDAS]]*Tabla1[[#This Row],[VENTA]]</calculatedColumnFormula>
    </tableColumn>
    <tableColumn id="9" xr3:uid="{78D81715-1A88-4B40-8275-EEBB8EC7E7AA}" name="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58DD96-F5FD-451C-BF7C-08101FE8E521}" name="Tabla13" displayName="Tabla13" ref="A6:I10" totalsRowShown="0">
  <autoFilter ref="A6:I10" xr:uid="{0A58DD96-F5FD-451C-BF7C-08101FE8E521}"/>
  <tableColumns count="9">
    <tableColumn id="1" xr3:uid="{15E8F3EF-D291-4A6C-8993-5CB5069D71E8}" name="JABON"/>
    <tableColumn id="2" xr3:uid="{44A6E3E1-F84D-47D3-96D9-1B2B3D91890B}" name="GRAMOS"/>
    <tableColumn id="3" xr3:uid="{39B9A30E-652E-4CAE-AAE3-CFCB49F54440}" name="TIPO"/>
    <tableColumn id="4" xr3:uid="{9575B390-2C8B-4DFB-8CB2-49B8F8160733}" name="MOLDES"/>
    <tableColumn id="5" xr3:uid="{0B29A2D7-13A9-41B4-B5C6-B6D4327DD472}" name="GRAMOS X PRODUCTO"/>
    <tableColumn id="6" xr3:uid="{5A0A8280-2A85-4F70-9388-91C382D97BFF}" name="VENTA"/>
    <tableColumn id="7" xr3:uid="{623BDB30-6826-4A19-84D9-8EB6C240E6F2}" name="UNIDADES VENDIDAS"/>
    <tableColumn id="8" xr3:uid="{FC5D06D7-BE4D-4312-A767-5FA659883BA3}" name="GANANCIA">
      <calculatedColumnFormula>Tabla13[[#This Row],[VENTA]]*Tabla13[[#This Row],[UNIDADES VENDIDAS]]</calculatedColumnFormula>
    </tableColumn>
    <tableColumn id="9" xr3:uid="{2BA65DA5-74C1-40D3-8789-6D3F664C60AB}" name="TOT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9BCC50-371E-4B98-BA12-81C465B866A3}" name="Tabla134" displayName="Tabla134" ref="A12:I14" totalsRowShown="0">
  <autoFilter ref="A12:I14" xr:uid="{179BCC50-371E-4B98-BA12-81C465B866A3}"/>
  <tableColumns count="9">
    <tableColumn id="1" xr3:uid="{F07C516E-8310-40E6-8962-43229B527C7D}" name="JABON"/>
    <tableColumn id="2" xr3:uid="{1F3D93C0-A449-46EF-AC1D-917B774EBFE6}" name="GRAMOS"/>
    <tableColumn id="3" xr3:uid="{4AD3EF38-91F3-4FFE-902F-251D3239253D}" name="TIPO"/>
    <tableColumn id="4" xr3:uid="{BF896B48-CC6C-4A1C-815F-7650235CF63C}" name="MOLDES"/>
    <tableColumn id="5" xr3:uid="{624C27B0-EF80-4503-B031-DFF5B78FC73E}" name="GRAMOS X PRODUCTO"/>
    <tableColumn id="6" xr3:uid="{D9875EEF-32A5-4F72-8C04-E0C6C2839F75}" name="VENTA"/>
    <tableColumn id="7" xr3:uid="{320C5086-4343-4A52-B8C8-DEC9B3E057C9}" name="UNIDADES VENDIDAS"/>
    <tableColumn id="8" xr3:uid="{92D21FC4-0BF2-434F-874F-301E6F2CE1EE}" name="GANANCIA">
      <calculatedColumnFormula>Tabla134[[#This Row],[UNIDADES VENDIDAS]]*Tabla134[[#This Row],[VENTA]]</calculatedColumnFormula>
    </tableColumn>
    <tableColumn id="9" xr3:uid="{15F44A11-1038-4946-ACD3-16E8E5A79DD3}" name="TOT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9901864-E1A3-4B32-9CB8-2638AF2BEB7B}" name="Tabla1345" displayName="Tabla1345" ref="A17:I19" totalsRowShown="0">
  <autoFilter ref="A17:I19" xr:uid="{49901864-E1A3-4B32-9CB8-2638AF2BEB7B}"/>
  <tableColumns count="9">
    <tableColumn id="1" xr3:uid="{BB385CFB-27B4-422C-BF6C-3F82F1CE24A0}" name="JABON"/>
    <tableColumn id="2" xr3:uid="{0566BE60-5005-4974-8E64-91F78FF7770C}" name="GRAMOS"/>
    <tableColumn id="3" xr3:uid="{2094E59E-BB4B-48DE-B58A-49897128FD59}" name="TIPO"/>
    <tableColumn id="4" xr3:uid="{E25984CD-C787-4F3C-A575-DF0971A58F71}" name="MOLDES"/>
    <tableColumn id="5" xr3:uid="{A35F6204-C603-4F1A-BCD5-F11AAE9574C3}" name="GRAMOS X PRODUCTO"/>
    <tableColumn id="6" xr3:uid="{2B0B57DC-6C3C-42DC-AE59-317B6E82058C}" name="VENTA"/>
    <tableColumn id="7" xr3:uid="{05886B3B-60F3-4572-B06A-693CCBFD68D6}" name="UNIDADES VENDIDAS"/>
    <tableColumn id="8" xr3:uid="{37C410E5-C9C5-44DD-B8C1-05EF1F165D6B}" name="GANANCIA">
      <calculatedColumnFormula>Tabla1345[[#This Row],[UNIDADES VENDIDAS]]*Tabla1345[[#This Row],[VENTA]]</calculatedColumnFormula>
    </tableColumn>
    <tableColumn id="9" xr3:uid="{EC94F308-2AA5-4A58-8F5C-E52A0E6483EE}" name="TOT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577C98-82A1-4B28-B26A-7440C48AED8A}" name="Tabla13456" displayName="Tabla13456" ref="A21:I23" totalsRowShown="0">
  <autoFilter ref="A21:I23" xr:uid="{E2577C98-82A1-4B28-B26A-7440C48AED8A}"/>
  <tableColumns count="9">
    <tableColumn id="1" xr3:uid="{DA7BAA27-288A-43FA-9C04-B35D4CAF8C89}" name="JABON"/>
    <tableColumn id="2" xr3:uid="{177CD6F2-A4B4-4CDC-BB8D-4551285935A5}" name="GRAMOS"/>
    <tableColumn id="3" xr3:uid="{95F0704D-F8E1-4FBD-A5C4-80C6FAF71936}" name="TIPO"/>
    <tableColumn id="4" xr3:uid="{FBFF7FB6-D1C4-4C8B-B33D-EACFA4AC030F}" name="MOLDES"/>
    <tableColumn id="5" xr3:uid="{BDCFE2EB-EC94-4C66-8507-F8749E58C0FE}" name="GRAMOS X PRODUCTO"/>
    <tableColumn id="6" xr3:uid="{660CB49D-04E0-49BE-A444-2A0B1CDC12AC}" name="VENTA"/>
    <tableColumn id="7" xr3:uid="{80783EE2-BF7B-4EBB-9281-1FBCC5B82E9E}" name="UNIDADES VENDIDAS"/>
    <tableColumn id="8" xr3:uid="{EA3456FC-151B-4935-B5F8-2F2A04F8BD8A}" name="GANANCIA">
      <calculatedColumnFormula>Tabla13456[[#This Row],[UNIDADES VENDIDAS]]*Tabla13456[[#This Row],[VENTA]]</calculatedColumnFormula>
    </tableColumn>
    <tableColumn id="9" xr3:uid="{A17D8A2A-DD39-48C7-A541-1818C1ECF0C2}" name="TOT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A0394A5-E55D-4F63-BD50-AC88B1558DCD}" name="Tabla134567" displayName="Tabla134567" ref="A25:I27" totalsRowShown="0">
  <autoFilter ref="A25:I27" xr:uid="{EA0394A5-E55D-4F63-BD50-AC88B1558DCD}"/>
  <tableColumns count="9">
    <tableColumn id="1" xr3:uid="{3D63A590-04E5-4320-A5D2-DEB8ADE59B90}" name="JABON"/>
    <tableColumn id="2" xr3:uid="{40854F24-F3C5-4BAC-9C23-5BF5F3EA53ED}" name="GRAMOS"/>
    <tableColumn id="3" xr3:uid="{B8BA95D7-B3A6-4D1C-B633-D9877383F316}" name="TIPO"/>
    <tableColumn id="4" xr3:uid="{47C56650-498E-481D-B8AE-9380A6695B83}" name="MOLDES"/>
    <tableColumn id="5" xr3:uid="{FF685054-9A5E-43B1-89D1-BFAB452E2F04}" name="GRAMOS X PRODUCTO"/>
    <tableColumn id="6" xr3:uid="{28622684-3417-4BDA-840C-7DCC533D054F}" name="VENTA"/>
    <tableColumn id="7" xr3:uid="{D55A4307-CC70-4B70-82E8-BB938A360643}" name="UNIDADES VENDIDAS"/>
    <tableColumn id="8" xr3:uid="{3A179C35-B759-4762-B97F-F92495D73C33}" name="GANANCIA">
      <calculatedColumnFormula>Tabla134567[[#This Row],[UNIDADES VENDIDAS]]*Tabla134567[[#This Row],[VENTA]]</calculatedColumnFormula>
    </tableColumn>
    <tableColumn id="9" xr3:uid="{260953AE-4642-479E-AB38-B68A900D65D8}" name="TOTA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7494F61-373B-4D61-8974-5F0923FA6AF2}" name="Tabla1345678" displayName="Tabla1345678" ref="A29:I31" totalsRowShown="0">
  <autoFilter ref="A29:I31" xr:uid="{67494F61-373B-4D61-8974-5F0923FA6AF2}"/>
  <tableColumns count="9">
    <tableColumn id="1" xr3:uid="{5C347FBF-CF4D-47A0-BC6B-657D4BB90F25}" name="JABON"/>
    <tableColumn id="2" xr3:uid="{5C3B8BB1-E837-4B96-A5A4-B431046F2768}" name="GRAMOS"/>
    <tableColumn id="3" xr3:uid="{AAB6017E-7BE2-4570-9E5A-13ADA50243DA}" name="TIPO"/>
    <tableColumn id="4" xr3:uid="{24D328BC-04F2-42E8-BBFB-2C686E481456}" name="MOLDES"/>
    <tableColumn id="5" xr3:uid="{B9B526DD-4B5C-40DE-9D2E-F8814CA242EF}" name="GRAMOS X PRODUCTO"/>
    <tableColumn id="6" xr3:uid="{453F785B-999F-4E6F-9A77-BD8C5F80856A}" name="VENTA"/>
    <tableColumn id="7" xr3:uid="{F059C4F4-F36B-4A08-A460-5C840BC63C59}" name="UNIDADES VENDIDAS"/>
    <tableColumn id="8" xr3:uid="{4688F0A3-6FFA-4B27-BB5D-BDE5EE9EFF0B}" name="GANANCIA">
      <calculatedColumnFormula>Tabla1345678[[#This Row],[UNIDADES VENDIDAS]]*Tabla1345678[[#This Row],[VENTA]]</calculatedColumnFormula>
    </tableColumn>
    <tableColumn id="9" xr3:uid="{DE761029-DE02-415C-B2B5-D8ABFB080D51}" name="TOTA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9A20B0D-F895-42E0-9E57-75EA5E98730E}" name="Tabla8" displayName="Tabla8" ref="K1:K2" totalsRowShown="0">
  <autoFilter ref="K1:K2" xr:uid="{99A20B0D-F895-42E0-9E57-75EA5E98730E}"/>
  <tableColumns count="1">
    <tableColumn id="1" xr3:uid="{3FF5F971-9C32-4330-A779-80A452437713}" name="TOTAL">
      <calculatedColumnFormula>SUM(I:I)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7A34-CE57-4926-A6B3-E2C19452CDFD}">
  <dimension ref="A1:K31"/>
  <sheetViews>
    <sheetView tabSelected="1" topLeftCell="D1" workbookViewId="0">
      <selection activeCell="K3" sqref="K3"/>
    </sheetView>
  </sheetViews>
  <sheetFormatPr baseColWidth="10" defaultRowHeight="15" x14ac:dyDescent="0.25"/>
  <cols>
    <col min="1" max="1" width="23" customWidth="1"/>
    <col min="3" max="3" width="23.5703125" customWidth="1"/>
    <col min="4" max="4" width="22.5703125" customWidth="1"/>
    <col min="5" max="5" width="35.5703125" customWidth="1"/>
    <col min="7" max="7" width="26.85546875" customWidth="1"/>
    <col min="8" max="8" width="22.5703125" customWidth="1"/>
    <col min="9" max="9" width="11.7109375" bestFit="1" customWidth="1"/>
    <col min="11" max="11" width="20" bestFit="1" customWidth="1"/>
  </cols>
  <sheetData>
    <row r="1" spans="1:11" x14ac:dyDescent="0.25">
      <c r="A1" t="s">
        <v>0</v>
      </c>
      <c r="B1" t="s">
        <v>4</v>
      </c>
      <c r="C1" t="s">
        <v>5</v>
      </c>
      <c r="D1" t="s">
        <v>6</v>
      </c>
      <c r="E1" t="s">
        <v>19</v>
      </c>
      <c r="F1" t="s">
        <v>20</v>
      </c>
      <c r="G1" t="s">
        <v>21</v>
      </c>
      <c r="H1" t="s">
        <v>29</v>
      </c>
      <c r="I1" t="s">
        <v>30</v>
      </c>
      <c r="K1" t="s">
        <v>30</v>
      </c>
    </row>
    <row r="2" spans="1:11" x14ac:dyDescent="0.25">
      <c r="A2" t="s">
        <v>3</v>
      </c>
      <c r="B2">
        <v>200</v>
      </c>
      <c r="C2" t="s">
        <v>1</v>
      </c>
      <c r="D2" t="s">
        <v>7</v>
      </c>
      <c r="E2">
        <v>70</v>
      </c>
      <c r="F2">
        <v>40</v>
      </c>
      <c r="H2">
        <f>Tabla1[[#This Row],[UNIDADES VENDIDAS]]*Tabla1[[#This Row],[VENTA]]</f>
        <v>0</v>
      </c>
      <c r="I2">
        <f>SUM(Tabla1[GANANCIA])</f>
        <v>15</v>
      </c>
      <c r="K2">
        <f>SUM(I:I)</f>
        <v>240</v>
      </c>
    </row>
    <row r="3" spans="1:11" x14ac:dyDescent="0.25">
      <c r="B3">
        <v>2</v>
      </c>
      <c r="C3" t="s">
        <v>2</v>
      </c>
      <c r="D3" t="s">
        <v>8</v>
      </c>
      <c r="E3">
        <v>66</v>
      </c>
      <c r="F3">
        <v>40</v>
      </c>
      <c r="H3">
        <f>Tabla1[[#This Row],[UNIDADES VENDIDAS]]*Tabla1[[#This Row],[VENTA]]</f>
        <v>0</v>
      </c>
    </row>
    <row r="4" spans="1:11" x14ac:dyDescent="0.25">
      <c r="D4" t="s">
        <v>9</v>
      </c>
      <c r="E4">
        <v>53</v>
      </c>
      <c r="F4">
        <v>15</v>
      </c>
      <c r="G4">
        <v>1</v>
      </c>
      <c r="H4">
        <f>Tabla1[[#This Row],[UNIDADES VENDIDAS]]*Tabla1[[#This Row],[VENTA]]</f>
        <v>15</v>
      </c>
    </row>
    <row r="6" spans="1:11" x14ac:dyDescent="0.25">
      <c r="A6" t="s">
        <v>0</v>
      </c>
      <c r="B6" t="s">
        <v>4</v>
      </c>
      <c r="C6" t="s">
        <v>5</v>
      </c>
      <c r="D6" t="s">
        <v>6</v>
      </c>
      <c r="E6" t="s">
        <v>19</v>
      </c>
      <c r="F6" t="s">
        <v>20</v>
      </c>
      <c r="G6" t="s">
        <v>21</v>
      </c>
      <c r="H6" t="s">
        <v>29</v>
      </c>
      <c r="I6" t="s">
        <v>30</v>
      </c>
    </row>
    <row r="7" spans="1:11" x14ac:dyDescent="0.25">
      <c r="A7" t="s">
        <v>3</v>
      </c>
      <c r="B7">
        <v>500</v>
      </c>
      <c r="C7" t="s">
        <v>1</v>
      </c>
      <c r="D7" t="s">
        <v>10</v>
      </c>
      <c r="E7">
        <v>69</v>
      </c>
      <c r="F7">
        <v>40</v>
      </c>
      <c r="G7">
        <v>1</v>
      </c>
      <c r="H7">
        <f>Tabla13[[#This Row],[VENTA]]*Tabla13[[#This Row],[UNIDADES VENDIDAS]]</f>
        <v>40</v>
      </c>
      <c r="I7">
        <f>SUM(Tabla13[GANANCIA])</f>
        <v>135</v>
      </c>
    </row>
    <row r="8" spans="1:11" x14ac:dyDescent="0.25">
      <c r="B8">
        <v>4</v>
      </c>
      <c r="C8" t="s">
        <v>2</v>
      </c>
      <c r="D8" t="s">
        <v>11</v>
      </c>
      <c r="E8">
        <v>80</v>
      </c>
      <c r="F8">
        <v>40</v>
      </c>
      <c r="G8">
        <v>1</v>
      </c>
      <c r="H8">
        <f>Tabla13[[#This Row],[VENTA]]*Tabla13[[#This Row],[UNIDADES VENDIDAS]]</f>
        <v>40</v>
      </c>
    </row>
    <row r="9" spans="1:11" x14ac:dyDescent="0.25">
      <c r="D9" t="s">
        <v>12</v>
      </c>
      <c r="E9">
        <v>74</v>
      </c>
      <c r="F9">
        <v>15</v>
      </c>
      <c r="G9">
        <v>1</v>
      </c>
      <c r="H9">
        <f>Tabla13[[#This Row],[VENTA]]*Tabla13[[#This Row],[UNIDADES VENDIDAS]]</f>
        <v>15</v>
      </c>
    </row>
    <row r="10" spans="1:11" x14ac:dyDescent="0.25">
      <c r="D10" t="s">
        <v>13</v>
      </c>
      <c r="E10">
        <v>86</v>
      </c>
      <c r="F10">
        <v>40</v>
      </c>
      <c r="G10">
        <v>1</v>
      </c>
      <c r="H10">
        <f>Tabla13[[#This Row],[VENTA]]*Tabla13[[#This Row],[UNIDADES VENDIDAS]]</f>
        <v>40</v>
      </c>
    </row>
    <row r="12" spans="1:11" x14ac:dyDescent="0.25">
      <c r="A12" t="s">
        <v>0</v>
      </c>
      <c r="B12" t="s">
        <v>4</v>
      </c>
      <c r="C12" t="s">
        <v>5</v>
      </c>
      <c r="D12" t="s">
        <v>6</v>
      </c>
      <c r="E12" t="s">
        <v>19</v>
      </c>
      <c r="F12" t="s">
        <v>20</v>
      </c>
      <c r="G12" t="s">
        <v>21</v>
      </c>
      <c r="H12" t="s">
        <v>29</v>
      </c>
      <c r="I12" t="s">
        <v>30</v>
      </c>
    </row>
    <row r="13" spans="1:11" x14ac:dyDescent="0.25">
      <c r="A13" t="s">
        <v>3</v>
      </c>
      <c r="B13">
        <v>200</v>
      </c>
      <c r="C13" t="s">
        <v>1</v>
      </c>
      <c r="D13" t="s">
        <v>14</v>
      </c>
      <c r="E13">
        <v>64</v>
      </c>
      <c r="F13">
        <v>30</v>
      </c>
      <c r="G13">
        <v>3</v>
      </c>
      <c r="H13">
        <f>Tabla134[[#This Row],[UNIDADES VENDIDAS]]*Tabla134[[#This Row],[VENTA]]</f>
        <v>90</v>
      </c>
      <c r="I13">
        <f>SUM(Tabla134[GANANCIA])</f>
        <v>90</v>
      </c>
    </row>
    <row r="14" spans="1:11" x14ac:dyDescent="0.25">
      <c r="B14">
        <v>2</v>
      </c>
      <c r="C14" t="s">
        <v>2</v>
      </c>
      <c r="D14" t="s">
        <v>15</v>
      </c>
      <c r="E14">
        <v>64</v>
      </c>
      <c r="F14">
        <v>30</v>
      </c>
      <c r="H14">
        <f>Tabla134[[#This Row],[UNIDADES VENDIDAS]]*Tabla134[[#This Row],[VENTA]]</f>
        <v>0</v>
      </c>
    </row>
    <row r="17" spans="1:9" x14ac:dyDescent="0.25">
      <c r="A17" t="s">
        <v>0</v>
      </c>
      <c r="B17" t="s">
        <v>4</v>
      </c>
      <c r="C17" t="s">
        <v>5</v>
      </c>
      <c r="D17" t="s">
        <v>6</v>
      </c>
      <c r="E17" t="s">
        <v>19</v>
      </c>
      <c r="F17" t="s">
        <v>20</v>
      </c>
      <c r="G17" t="s">
        <v>21</v>
      </c>
      <c r="H17" t="s">
        <v>29</v>
      </c>
      <c r="I17" t="s">
        <v>30</v>
      </c>
    </row>
    <row r="18" spans="1:9" x14ac:dyDescent="0.25">
      <c r="A18" t="s">
        <v>16</v>
      </c>
      <c r="B18">
        <v>400</v>
      </c>
      <c r="C18" t="s">
        <v>1</v>
      </c>
      <c r="D18" t="s">
        <v>18</v>
      </c>
      <c r="E18">
        <v>64</v>
      </c>
      <c r="F18">
        <v>30</v>
      </c>
      <c r="H18">
        <f>Tabla1345[[#This Row],[UNIDADES VENDIDAS]]*Tabla1345[[#This Row],[VENTA]]</f>
        <v>0</v>
      </c>
      <c r="I18">
        <f>SUM(Tabla1345[GANANCIA])</f>
        <v>0</v>
      </c>
    </row>
    <row r="19" spans="1:9" x14ac:dyDescent="0.25">
      <c r="B19">
        <v>4</v>
      </c>
      <c r="C19" t="s">
        <v>17</v>
      </c>
      <c r="H19">
        <f>Tabla1345[[#This Row],[UNIDADES VENDIDAS]]*Tabla1345[[#This Row],[VENTA]]</f>
        <v>0</v>
      </c>
    </row>
    <row r="21" spans="1:9" x14ac:dyDescent="0.25">
      <c r="A21" t="s">
        <v>0</v>
      </c>
      <c r="B21" t="s">
        <v>4</v>
      </c>
      <c r="C21" t="s">
        <v>5</v>
      </c>
      <c r="D21" t="s">
        <v>6</v>
      </c>
      <c r="E21" t="s">
        <v>19</v>
      </c>
      <c r="F21" t="s">
        <v>20</v>
      </c>
      <c r="G21" t="s">
        <v>21</v>
      </c>
      <c r="H21" t="s">
        <v>29</v>
      </c>
      <c r="I21" t="s">
        <v>30</v>
      </c>
    </row>
    <row r="22" spans="1:9" x14ac:dyDescent="0.25">
      <c r="A22" t="s">
        <v>22</v>
      </c>
      <c r="B22">
        <v>400</v>
      </c>
      <c r="C22" t="s">
        <v>23</v>
      </c>
      <c r="D22" t="s">
        <v>24</v>
      </c>
      <c r="E22">
        <v>76</v>
      </c>
      <c r="F22">
        <v>30</v>
      </c>
      <c r="H22">
        <f>Tabla13456[[#This Row],[UNIDADES VENDIDAS]]*Tabla13456[[#This Row],[VENTA]]</f>
        <v>0</v>
      </c>
      <c r="I22">
        <f>SUM(Tabla13456[GANANCIA])</f>
        <v>0</v>
      </c>
    </row>
    <row r="23" spans="1:9" x14ac:dyDescent="0.25">
      <c r="B23">
        <v>4</v>
      </c>
      <c r="C23" t="s">
        <v>27</v>
      </c>
      <c r="E23" t="s">
        <v>25</v>
      </c>
      <c r="H23">
        <f>Tabla13456[[#This Row],[UNIDADES VENDIDAS]]*Tabla13456[[#This Row],[VENTA]]</f>
        <v>0</v>
      </c>
    </row>
    <row r="25" spans="1:9" x14ac:dyDescent="0.25">
      <c r="A25" t="s">
        <v>0</v>
      </c>
      <c r="B25" t="s">
        <v>4</v>
      </c>
      <c r="C25" t="s">
        <v>5</v>
      </c>
      <c r="D25" t="s">
        <v>6</v>
      </c>
      <c r="E25" t="s">
        <v>19</v>
      </c>
      <c r="F25" t="s">
        <v>20</v>
      </c>
      <c r="G25" t="s">
        <v>21</v>
      </c>
      <c r="H25" t="s">
        <v>29</v>
      </c>
      <c r="I25" t="s">
        <v>30</v>
      </c>
    </row>
    <row r="26" spans="1:9" x14ac:dyDescent="0.25">
      <c r="A26" t="s">
        <v>22</v>
      </c>
      <c r="B26">
        <v>400</v>
      </c>
      <c r="C26" t="s">
        <v>23</v>
      </c>
      <c r="D26" t="s">
        <v>26</v>
      </c>
      <c r="E26">
        <v>76</v>
      </c>
      <c r="F26">
        <v>30</v>
      </c>
      <c r="H26">
        <f>Tabla134567[[#This Row],[UNIDADES VENDIDAS]]*Tabla134567[[#This Row],[VENTA]]</f>
        <v>0</v>
      </c>
      <c r="I26">
        <f>SUM(Tabla134567[GANANCIA])</f>
        <v>0</v>
      </c>
    </row>
    <row r="27" spans="1:9" x14ac:dyDescent="0.25">
      <c r="B27">
        <v>4</v>
      </c>
      <c r="C27" t="s">
        <v>27</v>
      </c>
      <c r="E27" t="s">
        <v>25</v>
      </c>
      <c r="H27">
        <f>Tabla134567[[#This Row],[UNIDADES VENDIDAS]]*Tabla134567[[#This Row],[VENTA]]</f>
        <v>0</v>
      </c>
    </row>
    <row r="29" spans="1:9" x14ac:dyDescent="0.25">
      <c r="A29" t="s">
        <v>0</v>
      </c>
      <c r="B29" t="s">
        <v>4</v>
      </c>
      <c r="C29" t="s">
        <v>5</v>
      </c>
      <c r="D29" t="s">
        <v>6</v>
      </c>
      <c r="E29" t="s">
        <v>19</v>
      </c>
      <c r="F29" t="s">
        <v>20</v>
      </c>
      <c r="G29" t="s">
        <v>21</v>
      </c>
      <c r="H29" t="s">
        <v>29</v>
      </c>
      <c r="I29" t="s">
        <v>30</v>
      </c>
    </row>
    <row r="30" spans="1:9" x14ac:dyDescent="0.25">
      <c r="A30" t="s">
        <v>22</v>
      </c>
      <c r="B30">
        <v>400</v>
      </c>
      <c r="C30" t="s">
        <v>23</v>
      </c>
      <c r="D30" t="s">
        <v>28</v>
      </c>
      <c r="E30">
        <v>72</v>
      </c>
      <c r="F30">
        <v>30</v>
      </c>
      <c r="H30">
        <f>Tabla1345678[[#This Row],[UNIDADES VENDIDAS]]*Tabla1345678[[#This Row],[VENTA]]</f>
        <v>0</v>
      </c>
      <c r="I30">
        <f>SUM(Tabla1345678[GANANCIA])</f>
        <v>0</v>
      </c>
    </row>
    <row r="31" spans="1:9" x14ac:dyDescent="0.25">
      <c r="B31">
        <v>4</v>
      </c>
      <c r="C31" t="s">
        <v>27</v>
      </c>
      <c r="E31" t="s">
        <v>25</v>
      </c>
      <c r="H31">
        <f>Tabla1345678[[#This Row],[UNIDADES VENDIDAS]]*Tabla1345678[[#This Row],[VENTA]]</f>
        <v>0</v>
      </c>
    </row>
  </sheetData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infante</dc:creator>
  <cp:lastModifiedBy>sandra infante</cp:lastModifiedBy>
  <dcterms:created xsi:type="dcterms:W3CDTF">2026-06-16T23:13:10Z</dcterms:created>
  <dcterms:modified xsi:type="dcterms:W3CDTF">2026-07-01T20:34:29Z</dcterms:modified>
</cp:coreProperties>
</file>